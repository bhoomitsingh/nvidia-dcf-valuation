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eet Kaur\Desktop\"/>
    </mc:Choice>
  </mc:AlternateContent>
  <xr:revisionPtr revIDLastSave="0" documentId="13_ncr:1_{5E905D1A-E71C-4294-A5DE-891DED0FBC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" sheetId="1" r:id="rId1"/>
    <sheet name="Assumptions" sheetId="3" r:id="rId2"/>
    <sheet name="Historicals" sheetId="2" r:id="rId3"/>
    <sheet name="Forecast" sheetId="4" r:id="rId4"/>
    <sheet name="DCF" sheetId="5" r:id="rId5"/>
    <sheet name="Sensitivity" sheetId="6" r:id="rId6"/>
    <sheet name="Dashboard" sheetId="7" r:id="rId7"/>
    <sheet name="Sourc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7" l="1"/>
  <c r="K4" i="7"/>
  <c r="A9" i="5"/>
  <c r="A8" i="5"/>
  <c r="A7" i="5"/>
  <c r="A6" i="5"/>
  <c r="A5" i="5"/>
  <c r="B2" i="5"/>
  <c r="B1" i="5"/>
  <c r="C5" i="5" s="1"/>
  <c r="I6" i="4"/>
  <c r="H6" i="4"/>
  <c r="G6" i="4"/>
  <c r="E6" i="4"/>
  <c r="F6" i="4" s="1"/>
  <c r="J6" i="4" s="1"/>
  <c r="B9" i="5" s="1"/>
  <c r="D6" i="4"/>
  <c r="I5" i="4"/>
  <c r="H5" i="4"/>
  <c r="G5" i="4"/>
  <c r="D5" i="4"/>
  <c r="I4" i="4"/>
  <c r="H4" i="4"/>
  <c r="G4" i="4"/>
  <c r="D4" i="4"/>
  <c r="I3" i="4"/>
  <c r="H3" i="4"/>
  <c r="G3" i="4"/>
  <c r="D3" i="4"/>
  <c r="I2" i="4"/>
  <c r="J2" i="4" s="1"/>
  <c r="B5" i="5" s="1"/>
  <c r="H2" i="4"/>
  <c r="G2" i="4"/>
  <c r="F2" i="4"/>
  <c r="E2" i="4"/>
  <c r="D2" i="4"/>
  <c r="F4" i="4" l="1"/>
  <c r="J4" i="4" s="1"/>
  <c r="B7" i="5" s="1"/>
  <c r="D7" i="5" s="1"/>
  <c r="B11" i="5"/>
  <c r="D5" i="5"/>
  <c r="C6" i="5"/>
  <c r="C8" i="5"/>
  <c r="E5" i="4"/>
  <c r="F5" i="4" s="1"/>
  <c r="J5" i="4" s="1"/>
  <c r="B8" i="5" s="1"/>
  <c r="D8" i="5" s="1"/>
  <c r="E4" i="4"/>
  <c r="E3" i="4"/>
  <c r="F3" i="4" s="1"/>
  <c r="J3" i="4" s="1"/>
  <c r="B6" i="5" s="1"/>
  <c r="D6" i="5" s="1"/>
  <c r="C7" i="5"/>
  <c r="C9" i="5"/>
  <c r="D9" i="5" s="1"/>
  <c r="B14" i="5" l="1"/>
  <c r="B12" i="5"/>
  <c r="B15" i="5"/>
  <c r="B16" i="5" l="1"/>
  <c r="B19" i="5" s="1"/>
  <c r="B21" i="5" s="1"/>
  <c r="E6" i="6" l="1"/>
  <c r="B5" i="6"/>
  <c r="D3" i="6"/>
  <c r="B6" i="6"/>
  <c r="F5" i="6"/>
  <c r="C7" i="6"/>
  <c r="D6" i="6"/>
  <c r="F4" i="6"/>
  <c r="C3" i="6"/>
  <c r="D4" i="6"/>
  <c r="D7" i="6"/>
  <c r="E5" i="6"/>
  <c r="F7" i="6"/>
  <c r="C6" i="6"/>
  <c r="E4" i="6"/>
  <c r="B3" i="6"/>
  <c r="E7" i="6"/>
  <c r="C4" i="6"/>
  <c r="B4" i="6"/>
  <c r="B7" i="6"/>
  <c r="D5" i="6"/>
  <c r="F3" i="6"/>
  <c r="K6" i="7"/>
  <c r="F6" i="6"/>
  <c r="C5" i="6"/>
  <c r="E3" i="6"/>
</calcChain>
</file>

<file path=xl/sharedStrings.xml><?xml version="1.0" encoding="utf-8"?>
<sst xmlns="http://schemas.openxmlformats.org/spreadsheetml/2006/main" count="83" uniqueCount="66">
  <si>
    <t>Company</t>
  </si>
  <si>
    <t>NVIDIA</t>
  </si>
  <si>
    <t>Ticker</t>
  </si>
  <si>
    <t>NVDA</t>
  </si>
  <si>
    <t>Valuation Date</t>
  </si>
  <si>
    <t>Analyst</t>
  </si>
  <si>
    <t>Recommendation</t>
  </si>
  <si>
    <t>Prepared By</t>
  </si>
  <si>
    <t>Bhoomit Singh</t>
  </si>
  <si>
    <t>Institution</t>
  </si>
  <si>
    <t>Shri Ram College of Commerce (SRCC)</t>
  </si>
  <si>
    <t>Project</t>
  </si>
  <si>
    <t>NVIDIA Discounted Cash Flow (DCF) Valuation</t>
  </si>
  <si>
    <t>Disclaimer</t>
  </si>
  <si>
    <t>Educational model based on public filings and analyst assumptions.</t>
  </si>
  <si>
    <t>Author</t>
  </si>
  <si>
    <t>Year</t>
  </si>
  <si>
    <t>Revenue</t>
  </si>
  <si>
    <t>EBIT</t>
  </si>
  <si>
    <t>Tax Rate</t>
  </si>
  <si>
    <t>D&amp;A</t>
  </si>
  <si>
    <t>CapEx</t>
  </si>
  <si>
    <t>Change in NWC</t>
  </si>
  <si>
    <t>FCF</t>
  </si>
  <si>
    <t>Risk-free Rate</t>
  </si>
  <si>
    <t>Equity Risk Premium</t>
  </si>
  <si>
    <t>Beta</t>
  </si>
  <si>
    <t>Cost of Debt</t>
  </si>
  <si>
    <t>Terminal Growth</t>
  </si>
  <si>
    <t>Approx. WACC</t>
  </si>
  <si>
    <t>EBIT Margin</t>
  </si>
  <si>
    <t>Tax</t>
  </si>
  <si>
    <t>NOPAT</t>
  </si>
  <si>
    <t>ΔNWC</t>
  </si>
  <si>
    <t>Key Forecast Assumptions</t>
  </si>
  <si>
    <t>Revenue growth declines over time</t>
  </si>
  <si>
    <t>EBIT margin maintained at 56%</t>
  </si>
  <si>
    <t>D&amp;A = 2% of revenue</t>
  </si>
  <si>
    <t>CapEx = 3% of revenue</t>
  </si>
  <si>
    <t>Change in NWC = 1% of revenue</t>
  </si>
  <si>
    <t>Discount Rate (WACC)</t>
  </si>
  <si>
    <t>PV Factor</t>
  </si>
  <si>
    <t>Present Value</t>
  </si>
  <si>
    <t>Terminal Value</t>
  </si>
  <si>
    <t>Enterprise Value</t>
  </si>
  <si>
    <t>PV of Explicit FCF</t>
  </si>
  <si>
    <t>PV of Terminal Value</t>
  </si>
  <si>
    <t>Cash</t>
  </si>
  <si>
    <t>Debt</t>
  </si>
  <si>
    <t>Equity Value</t>
  </si>
  <si>
    <t>Shares Outstanding (millions)</t>
  </si>
  <si>
    <t>Intrinsic Value/Share ($)</t>
  </si>
  <si>
    <t>Sensitivity Analysis</t>
  </si>
  <si>
    <t>WACC \ Terminal Growth</t>
  </si>
  <si>
    <t>Key KPIs</t>
  </si>
  <si>
    <t>HOLD</t>
  </si>
  <si>
    <t>Revenue Forecast</t>
  </si>
  <si>
    <t>Model Author</t>
  </si>
  <si>
    <t>WACC</t>
  </si>
  <si>
    <t>Intrinsic Value/Share</t>
  </si>
  <si>
    <t>Sources</t>
  </si>
  <si>
    <t>Historical financials: NVIDIA FY2026 Form 10-K (SEC)</t>
  </si>
  <si>
    <t>Market assumptions: Damodaran datasets (ERP), US 10Y Treasury</t>
  </si>
  <si>
    <t>Share price and beta: Yahoo Finance (update before submission)</t>
  </si>
  <si>
    <t>Forecasts are analyst assumptions for educational purposes.</t>
  </si>
  <si>
    <t xml:space="preserve">Dashboard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</si>
</sst>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94014AA6-3792-4E4D-BDED-C4D6C997011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Forecast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Forecast!$B$1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Forecast!$A$2:$A$6</c:f>
              <c:numCache>
                <c:formatCode>General</c:formatCod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numCache>
            </c:numRef>
          </c:cat>
          <c:val>
            <c:numRef>
              <c:f>Forecast!$B$2:$B$6</c:f>
              <c:numCache>
                <c:formatCode>General</c:formatCode>
                <c:ptCount val="5"/>
                <c:pt idx="0">
                  <c:v>291436.7</c:v>
                </c:pt>
                <c:pt idx="1">
                  <c:v>364295.8</c:v>
                </c:pt>
                <c:pt idx="2">
                  <c:v>437155</c:v>
                </c:pt>
                <c:pt idx="3">
                  <c:v>502728.2</c:v>
                </c:pt>
                <c:pt idx="4">
                  <c:v>563055.6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60B-47B7-961C-EBA8590AD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Projected Free Cash Flow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Forecast!$J$1</c:f>
              <c:strCache>
                <c:ptCount val="1"/>
                <c:pt idx="0">
                  <c:v>FCF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Forecast!$A$2:$A$6</c:f>
              <c:numCache>
                <c:formatCode>General</c:formatCod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numCache>
            </c:numRef>
          </c:cat>
          <c:val>
            <c:numRef>
              <c:f>Forecast!$J$2:$J$6</c:f>
              <c:numCache>
                <c:formatCode>General</c:formatCode>
                <c:ptCount val="5"/>
                <c:pt idx="0">
                  <c:v>132895.13520000002</c:v>
                </c:pt>
                <c:pt idx="1">
                  <c:v>166118.8848</c:v>
                </c:pt>
                <c:pt idx="2">
                  <c:v>199342.68000000005</c:v>
                </c:pt>
                <c:pt idx="3">
                  <c:v>229244.05920000005</c:v>
                </c:pt>
                <c:pt idx="4">
                  <c:v>256753.3536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F-4C31-B87B-6A817B7E9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7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16" sqref="A16"/>
    </sheetView>
  </sheetViews>
  <sheetFormatPr defaultRowHeight="14.5" x14ac:dyDescent="0.35"/>
  <cols>
    <col min="1" max="2" width="42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 t="s">
        <v>2</v>
      </c>
      <c r="B2" t="s">
        <v>3</v>
      </c>
    </row>
    <row r="3" spans="1:2" x14ac:dyDescent="0.35">
      <c r="A3" s="1" t="s">
        <v>4</v>
      </c>
      <c r="B3" s="3">
        <v>46213</v>
      </c>
    </row>
    <row r="4" spans="1:2" x14ac:dyDescent="0.35">
      <c r="A4" s="1" t="s">
        <v>5</v>
      </c>
      <c r="B4" t="s">
        <v>8</v>
      </c>
    </row>
    <row r="5" spans="1:2" x14ac:dyDescent="0.35">
      <c r="A5" s="1" t="s">
        <v>6</v>
      </c>
      <c r="B5" t="s">
        <v>55</v>
      </c>
    </row>
    <row r="6" spans="1:2" x14ac:dyDescent="0.35">
      <c r="A6" s="1"/>
    </row>
    <row r="7" spans="1:2" x14ac:dyDescent="0.35">
      <c r="A7" s="1"/>
    </row>
    <row r="8" spans="1:2" x14ac:dyDescent="0.35">
      <c r="A8" s="1" t="s">
        <v>7</v>
      </c>
      <c r="B8" t="s">
        <v>8</v>
      </c>
    </row>
    <row r="9" spans="1:2" x14ac:dyDescent="0.35">
      <c r="A9" s="1" t="s">
        <v>9</v>
      </c>
      <c r="B9" t="s">
        <v>10</v>
      </c>
    </row>
    <row r="10" spans="1:2" x14ac:dyDescent="0.35">
      <c r="A10" s="1" t="s">
        <v>11</v>
      </c>
      <c r="B10" t="s">
        <v>12</v>
      </c>
    </row>
    <row r="11" spans="1:2" x14ac:dyDescent="0.35">
      <c r="A11" s="1" t="s">
        <v>13</v>
      </c>
      <c r="B11" t="s">
        <v>14</v>
      </c>
    </row>
    <row r="12" spans="1:2" x14ac:dyDescent="0.35">
      <c r="A12" t="s">
        <v>15</v>
      </c>
      <c r="B12" t="s">
        <v>8</v>
      </c>
    </row>
  </sheetData>
  <pageMargins left="0.75" right="0.75" top="1" bottom="1" header="0.5" footer="0.5"/>
  <headerFooter>
    <oddFooter>&amp;CPrepared by Bhoomit Singh&amp;RPage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5" x14ac:dyDescent="0.35"/>
  <cols>
    <col min="1" max="2" width="15" customWidth="1"/>
  </cols>
  <sheetData>
    <row r="1" spans="1:2" x14ac:dyDescent="0.35">
      <c r="A1" s="2" t="s">
        <v>24</v>
      </c>
      <c r="B1" s="2">
        <v>4.2999999999999997E-2</v>
      </c>
    </row>
    <row r="2" spans="1:2" x14ac:dyDescent="0.35">
      <c r="A2" s="1" t="s">
        <v>25</v>
      </c>
      <c r="B2">
        <v>5.5E-2</v>
      </c>
    </row>
    <row r="3" spans="1:2" x14ac:dyDescent="0.35">
      <c r="A3" s="1" t="s">
        <v>26</v>
      </c>
      <c r="B3">
        <v>1.8</v>
      </c>
    </row>
    <row r="4" spans="1:2" x14ac:dyDescent="0.35">
      <c r="A4" s="1" t="s">
        <v>27</v>
      </c>
      <c r="B4">
        <v>3.7999999999999999E-2</v>
      </c>
    </row>
    <row r="5" spans="1:2" x14ac:dyDescent="0.35">
      <c r="A5" s="1" t="s">
        <v>19</v>
      </c>
      <c r="B5">
        <v>0.15</v>
      </c>
    </row>
    <row r="6" spans="1:2" x14ac:dyDescent="0.35">
      <c r="A6" s="1" t="s">
        <v>28</v>
      </c>
      <c r="B6">
        <v>0.03</v>
      </c>
    </row>
    <row r="7" spans="1:2" x14ac:dyDescent="0.35">
      <c r="A7" s="1" t="s">
        <v>29</v>
      </c>
      <c r="B7">
        <v>0.125</v>
      </c>
    </row>
  </sheetData>
  <pageMargins left="0.75" right="0.75" top="1" bottom="1" header="0.5" footer="0.5"/>
  <headerFooter>
    <oddFooter>&amp;CPrepared by Bhoomit Singh&amp;RPage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defaultRowHeight="14.5" x14ac:dyDescent="0.35"/>
  <cols>
    <col min="1" max="8" width="15" customWidth="1"/>
  </cols>
  <sheetData>
    <row r="1" spans="1:8" x14ac:dyDescent="0.3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</row>
    <row r="2" spans="1:8" x14ac:dyDescent="0.35">
      <c r="A2">
        <v>2022</v>
      </c>
      <c r="B2">
        <v>26914</v>
      </c>
      <c r="C2">
        <v>10041</v>
      </c>
      <c r="D2">
        <v>0.15</v>
      </c>
    </row>
    <row r="3" spans="1:8" x14ac:dyDescent="0.35">
      <c r="A3">
        <v>2023</v>
      </c>
      <c r="B3">
        <v>26974</v>
      </c>
      <c r="C3">
        <v>4224</v>
      </c>
      <c r="D3">
        <v>0.15</v>
      </c>
    </row>
    <row r="4" spans="1:8" x14ac:dyDescent="0.35">
      <c r="A4">
        <v>2024</v>
      </c>
      <c r="B4">
        <v>60922</v>
      </c>
      <c r="C4">
        <v>32972</v>
      </c>
      <c r="D4">
        <v>0.15</v>
      </c>
    </row>
    <row r="5" spans="1:8" x14ac:dyDescent="0.35">
      <c r="A5">
        <v>2025</v>
      </c>
      <c r="B5">
        <v>130497</v>
      </c>
      <c r="C5">
        <v>81453</v>
      </c>
      <c r="D5">
        <v>0.15</v>
      </c>
    </row>
    <row r="6" spans="1:8" x14ac:dyDescent="0.35">
      <c r="A6">
        <v>2026</v>
      </c>
      <c r="B6">
        <v>215879</v>
      </c>
      <c r="C6">
        <v>127505</v>
      </c>
      <c r="D6">
        <v>0.15</v>
      </c>
      <c r="F6">
        <v>6000</v>
      </c>
      <c r="H6">
        <v>96700</v>
      </c>
    </row>
  </sheetData>
  <pageMargins left="0.75" right="0.75" top="1" bottom="1" header="0.5" footer="0.5"/>
  <headerFooter>
    <oddFooter>&amp;CPrepared by Bhoomit Singh&amp;RPage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"/>
  <sheetViews>
    <sheetView workbookViewId="0"/>
  </sheetViews>
  <sheetFormatPr defaultRowHeight="14.5" x14ac:dyDescent="0.35"/>
  <cols>
    <col min="1" max="12" width="15" customWidth="1"/>
  </cols>
  <sheetData>
    <row r="1" spans="1:12" x14ac:dyDescent="0.35">
      <c r="A1" s="2" t="s">
        <v>16</v>
      </c>
      <c r="B1" s="2" t="s">
        <v>17</v>
      </c>
      <c r="C1" s="2" t="s">
        <v>30</v>
      </c>
      <c r="D1" s="2" t="s">
        <v>18</v>
      </c>
      <c r="E1" s="2" t="s">
        <v>31</v>
      </c>
      <c r="F1" s="2" t="s">
        <v>32</v>
      </c>
      <c r="G1" s="2" t="s">
        <v>20</v>
      </c>
      <c r="H1" s="2" t="s">
        <v>21</v>
      </c>
      <c r="I1" s="2" t="s">
        <v>33</v>
      </c>
      <c r="J1" s="2" t="s">
        <v>23</v>
      </c>
      <c r="K1" s="2"/>
      <c r="L1" s="2" t="s">
        <v>34</v>
      </c>
    </row>
    <row r="2" spans="1:12" x14ac:dyDescent="0.35">
      <c r="A2">
        <v>2027</v>
      </c>
      <c r="B2">
        <v>291436.7</v>
      </c>
      <c r="C2">
        <v>0.56000000000000005</v>
      </c>
      <c r="D2">
        <f>B2*C2</f>
        <v>163204.55200000003</v>
      </c>
      <c r="E2">
        <f>D2*0.15</f>
        <v>24480.682800000002</v>
      </c>
      <c r="F2">
        <f>D2-E2</f>
        <v>138723.86920000002</v>
      </c>
      <c r="G2">
        <f>B2*0.02</f>
        <v>5828.7340000000004</v>
      </c>
      <c r="H2">
        <f>B2*0.03</f>
        <v>8743.1010000000006</v>
      </c>
      <c r="I2">
        <f>B2*0.01</f>
        <v>2914.3670000000002</v>
      </c>
      <c r="J2">
        <f>F2+G2-H2-I2</f>
        <v>132895.13520000002</v>
      </c>
      <c r="L2" t="s">
        <v>35</v>
      </c>
    </row>
    <row r="3" spans="1:12" x14ac:dyDescent="0.35">
      <c r="A3">
        <v>2028</v>
      </c>
      <c r="B3">
        <v>364295.8</v>
      </c>
      <c r="C3">
        <v>0.56000000000000005</v>
      </c>
      <c r="D3">
        <f>B3*C3</f>
        <v>204005.64800000002</v>
      </c>
      <c r="E3">
        <f>D3*0.15</f>
        <v>30600.8472</v>
      </c>
      <c r="F3">
        <f>D3-E3</f>
        <v>173404.80080000003</v>
      </c>
      <c r="G3">
        <f>B3*0.02</f>
        <v>7285.9160000000002</v>
      </c>
      <c r="H3">
        <f>B3*0.03</f>
        <v>10928.874</v>
      </c>
      <c r="I3">
        <f>B3*0.01</f>
        <v>3642.9580000000001</v>
      </c>
      <c r="J3">
        <f>F3+G3-H3-I3</f>
        <v>166118.8848</v>
      </c>
      <c r="L3" t="s">
        <v>36</v>
      </c>
    </row>
    <row r="4" spans="1:12" x14ac:dyDescent="0.35">
      <c r="A4">
        <v>2029</v>
      </c>
      <c r="B4">
        <v>437155</v>
      </c>
      <c r="C4">
        <v>0.56000000000000005</v>
      </c>
      <c r="D4">
        <f>B4*C4</f>
        <v>244806.80000000002</v>
      </c>
      <c r="E4">
        <f>D4*0.15</f>
        <v>36721.020000000004</v>
      </c>
      <c r="F4">
        <f>D4-E4</f>
        <v>208085.78000000003</v>
      </c>
      <c r="G4">
        <f>B4*0.02</f>
        <v>8743.1</v>
      </c>
      <c r="H4">
        <f>B4*0.03</f>
        <v>13114.65</v>
      </c>
      <c r="I4">
        <f>B4*0.01</f>
        <v>4371.55</v>
      </c>
      <c r="J4">
        <f>F4+G4-H4-I4</f>
        <v>199342.68000000005</v>
      </c>
      <c r="L4" t="s">
        <v>37</v>
      </c>
    </row>
    <row r="5" spans="1:12" x14ac:dyDescent="0.35">
      <c r="A5">
        <v>2030</v>
      </c>
      <c r="B5">
        <v>502728.2</v>
      </c>
      <c r="C5">
        <v>0.56000000000000005</v>
      </c>
      <c r="D5">
        <f>B5*C5</f>
        <v>281527.79200000002</v>
      </c>
      <c r="E5">
        <f>D5*0.15</f>
        <v>42229.168799999999</v>
      </c>
      <c r="F5">
        <f>D5-E5</f>
        <v>239298.62320000003</v>
      </c>
      <c r="G5">
        <f>B5*0.02</f>
        <v>10054.564</v>
      </c>
      <c r="H5">
        <f>B5*0.03</f>
        <v>15081.846</v>
      </c>
      <c r="I5">
        <f>B5*0.01</f>
        <v>5027.2820000000002</v>
      </c>
      <c r="J5">
        <f>F5+G5-H5-I5</f>
        <v>229244.05920000005</v>
      </c>
      <c r="L5" t="s">
        <v>38</v>
      </c>
    </row>
    <row r="6" spans="1:12" x14ac:dyDescent="0.35">
      <c r="A6">
        <v>2031</v>
      </c>
      <c r="B6">
        <v>563055.6</v>
      </c>
      <c r="C6">
        <v>0.56000000000000005</v>
      </c>
      <c r="D6">
        <f>B6*C6</f>
        <v>315311.136</v>
      </c>
      <c r="E6">
        <f>D6*0.15</f>
        <v>47296.670399999995</v>
      </c>
      <c r="F6">
        <f>D6-E6</f>
        <v>268014.4656</v>
      </c>
      <c r="G6">
        <f>B6*0.02</f>
        <v>11261.111999999999</v>
      </c>
      <c r="H6">
        <f>B6*0.03</f>
        <v>16891.667999999998</v>
      </c>
      <c r="I6">
        <f>B6*0.01</f>
        <v>5630.5559999999996</v>
      </c>
      <c r="J6">
        <f>F6+G6-H6-I6</f>
        <v>256753.3536</v>
      </c>
      <c r="L6" t="s">
        <v>39</v>
      </c>
    </row>
  </sheetData>
  <pageMargins left="0.75" right="0.75" top="1" bottom="1" header="0.5" footer="0.5"/>
  <headerFooter>
    <oddFooter>&amp;CPrepared by Bhoomit Singh&amp;RPage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/>
  </sheetViews>
  <sheetFormatPr defaultRowHeight="14.5" x14ac:dyDescent="0.35"/>
  <cols>
    <col min="1" max="4" width="15" customWidth="1"/>
  </cols>
  <sheetData>
    <row r="1" spans="1:4" x14ac:dyDescent="0.35">
      <c r="A1" s="2" t="s">
        <v>40</v>
      </c>
      <c r="B1" s="2">
        <f>Assumptions!B7</f>
        <v>0.125</v>
      </c>
      <c r="C1" s="2"/>
      <c r="D1" s="2"/>
    </row>
    <row r="2" spans="1:4" x14ac:dyDescent="0.35">
      <c r="A2" t="s">
        <v>28</v>
      </c>
      <c r="B2">
        <f>Assumptions!B6</f>
        <v>0.03</v>
      </c>
    </row>
    <row r="4" spans="1:4" x14ac:dyDescent="0.35">
      <c r="A4" s="1" t="s">
        <v>16</v>
      </c>
      <c r="B4" s="1" t="s">
        <v>23</v>
      </c>
      <c r="C4" s="1" t="s">
        <v>41</v>
      </c>
      <c r="D4" s="1" t="s">
        <v>42</v>
      </c>
    </row>
    <row r="5" spans="1:4" x14ac:dyDescent="0.35">
      <c r="A5">
        <f>Forecast!A2</f>
        <v>2027</v>
      </c>
      <c r="B5">
        <f>Forecast!J2</f>
        <v>132895.13520000002</v>
      </c>
      <c r="C5">
        <f>1/(1+$B$1)^(1)</f>
        <v>0.88888888888888884</v>
      </c>
      <c r="D5">
        <f>B5*C5</f>
        <v>118129.00906666668</v>
      </c>
    </row>
    <row r="6" spans="1:4" x14ac:dyDescent="0.35">
      <c r="A6">
        <f>Forecast!A3</f>
        <v>2028</v>
      </c>
      <c r="B6">
        <f>Forecast!J3</f>
        <v>166118.8848</v>
      </c>
      <c r="C6">
        <f>1/(1+$B$1)^(2)</f>
        <v>0.79012345679012341</v>
      </c>
      <c r="D6">
        <f>B6*C6</f>
        <v>131254.4274962963</v>
      </c>
    </row>
    <row r="7" spans="1:4" x14ac:dyDescent="0.35">
      <c r="A7">
        <f>Forecast!A4</f>
        <v>2029</v>
      </c>
      <c r="B7">
        <f>Forecast!J4</f>
        <v>199342.68000000005</v>
      </c>
      <c r="C7">
        <f>1/(1+$B$1)^(3)</f>
        <v>0.7023319615912208</v>
      </c>
      <c r="D7">
        <f>B7*C7</f>
        <v>140004.73547325106</v>
      </c>
    </row>
    <row r="8" spans="1:4" x14ac:dyDescent="0.35">
      <c r="A8">
        <f>Forecast!A5</f>
        <v>2030</v>
      </c>
      <c r="B8">
        <f>Forecast!J5</f>
        <v>229244.05920000005</v>
      </c>
      <c r="C8">
        <f>1/(1+$B$1)^(4)</f>
        <v>0.62429507696997411</v>
      </c>
      <c r="D8">
        <f>B8*C8</f>
        <v>143115.93758317333</v>
      </c>
    </row>
    <row r="9" spans="1:4" x14ac:dyDescent="0.35">
      <c r="A9">
        <f>Forecast!A6</f>
        <v>2031</v>
      </c>
      <c r="B9">
        <f>Forecast!J6</f>
        <v>256753.3536</v>
      </c>
      <c r="C9">
        <f>1/(1+$B$1)^(5)</f>
        <v>0.5549289573066436</v>
      </c>
      <c r="D9">
        <f>B9*C9</f>
        <v>142479.87079823198</v>
      </c>
    </row>
    <row r="11" spans="1:4" x14ac:dyDescent="0.35">
      <c r="A11" t="s">
        <v>43</v>
      </c>
      <c r="B11">
        <f>B9*(1+$B$2)/($B$1-$B$2)</f>
        <v>2783746.8863999997</v>
      </c>
    </row>
    <row r="12" spans="1:4" x14ac:dyDescent="0.35">
      <c r="A12" t="s">
        <v>44</v>
      </c>
      <c r="B12">
        <f>SUM(D5:D9)+B11*C9</f>
        <v>2219765.7374931872</v>
      </c>
    </row>
    <row r="14" spans="1:4" x14ac:dyDescent="0.35">
      <c r="A14" s="1" t="s">
        <v>45</v>
      </c>
      <c r="B14">
        <f>SUM(D5:D9)</f>
        <v>674983.98041761946</v>
      </c>
    </row>
    <row r="15" spans="1:4" x14ac:dyDescent="0.35">
      <c r="A15" s="1" t="s">
        <v>46</v>
      </c>
      <c r="B15">
        <f>B11*C9</f>
        <v>1544781.7570755675</v>
      </c>
    </row>
    <row r="16" spans="1:4" x14ac:dyDescent="0.35">
      <c r="A16" s="1" t="s">
        <v>44</v>
      </c>
      <c r="B16">
        <f>B14+B15</f>
        <v>2219765.7374931872</v>
      </c>
    </row>
    <row r="17" spans="1:2" x14ac:dyDescent="0.35">
      <c r="A17" s="1" t="s">
        <v>47</v>
      </c>
      <c r="B17">
        <v>43700</v>
      </c>
    </row>
    <row r="18" spans="1:2" x14ac:dyDescent="0.35">
      <c r="A18" s="1" t="s">
        <v>48</v>
      </c>
      <c r="B18">
        <v>10100</v>
      </c>
    </row>
    <row r="19" spans="1:2" x14ac:dyDescent="0.35">
      <c r="A19" s="1" t="s">
        <v>49</v>
      </c>
      <c r="B19">
        <f>B16+B17-B18</f>
        <v>2253365.7374931872</v>
      </c>
    </row>
    <row r="20" spans="1:2" x14ac:dyDescent="0.35">
      <c r="A20" s="1" t="s">
        <v>50</v>
      </c>
      <c r="B20">
        <v>24600</v>
      </c>
    </row>
    <row r="21" spans="1:2" x14ac:dyDescent="0.35">
      <c r="A21" s="1" t="s">
        <v>51</v>
      </c>
      <c r="B21">
        <f>B19/B20</f>
        <v>91.60023323143038</v>
      </c>
    </row>
  </sheetData>
  <pageMargins left="0.75" right="0.75" top="1" bottom="1" header="0.5" footer="0.5"/>
  <headerFooter>
    <oddFooter>&amp;CPrepared by Bhoomit Singh&amp;RPage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/>
  </sheetViews>
  <sheetFormatPr defaultRowHeight="14.5" x14ac:dyDescent="0.35"/>
  <cols>
    <col min="1" max="6" width="15" customWidth="1"/>
  </cols>
  <sheetData>
    <row r="1" spans="1:6" x14ac:dyDescent="0.35">
      <c r="A1" s="2" t="s">
        <v>52</v>
      </c>
      <c r="B1" s="2"/>
      <c r="C1" s="2"/>
      <c r="D1" s="2"/>
      <c r="E1" s="2"/>
      <c r="F1" s="2"/>
    </row>
    <row r="2" spans="1:6" x14ac:dyDescent="0.35">
      <c r="A2" t="s">
        <v>53</v>
      </c>
      <c r="B2">
        <v>0.02</v>
      </c>
      <c r="C2">
        <v>2.5000000000000001E-2</v>
      </c>
      <c r="D2">
        <v>0.03</v>
      </c>
      <c r="E2">
        <v>3.5000000000000003E-2</v>
      </c>
      <c r="F2">
        <v>0.04</v>
      </c>
    </row>
    <row r="3" spans="1:6" x14ac:dyDescent="0.35">
      <c r="A3">
        <v>0.1</v>
      </c>
      <c r="B3">
        <f>(DCF!B21)*(1+(0.1-0.125)*-2+(0.02-0.03)*5)</f>
        <v>91.60023323143038</v>
      </c>
      <c r="C3">
        <f>(DCF!B21)*(1+(0.1-0.125)*-2+(0.025-0.03)*5)</f>
        <v>93.890239062216153</v>
      </c>
      <c r="D3">
        <f>(DCF!B21)*(1+(0.1-0.125)*-2+(0.03-0.03)*5)</f>
        <v>96.180244893001898</v>
      </c>
      <c r="E3">
        <f>(DCF!B21)*(1+(0.1-0.125)*-2+(0.035-0.03)*5)</f>
        <v>98.470250723787672</v>
      </c>
      <c r="F3">
        <f>(DCF!B21)*(1+(0.1-0.125)*-2+(0.04-0.03)*5)</f>
        <v>100.76025655457343</v>
      </c>
    </row>
    <row r="4" spans="1:6" x14ac:dyDescent="0.35">
      <c r="A4">
        <v>0.11</v>
      </c>
      <c r="B4">
        <f>(DCF!B21)*(1+(0.11-0.125)*-2+(0.02-0.03)*5)</f>
        <v>89.768228566801767</v>
      </c>
      <c r="C4">
        <f>(DCF!B21)*(1+(0.11-0.125)*-2+(0.025-0.03)*5)</f>
        <v>92.05823439758754</v>
      </c>
      <c r="D4">
        <f>(DCF!B21)*(1+(0.11-0.125)*-2+(0.03-0.03)*5)</f>
        <v>94.348240228373299</v>
      </c>
      <c r="E4">
        <f>(DCF!B21)*(1+(0.11-0.125)*-2+(0.035-0.03)*5)</f>
        <v>96.638246059159059</v>
      </c>
      <c r="F4">
        <f>(DCF!B21)*(1+(0.11-0.125)*-2+(0.04-0.03)*5)</f>
        <v>98.928251889944818</v>
      </c>
    </row>
    <row r="5" spans="1:6" x14ac:dyDescent="0.35">
      <c r="A5">
        <v>0.12</v>
      </c>
      <c r="B5">
        <f>(DCF!B21)*(1+(0.12-0.125)*-2+(0.02-0.03)*5)</f>
        <v>87.936223902173168</v>
      </c>
      <c r="C5">
        <f>(DCF!B21)*(1+(0.12-0.125)*-2+(0.025-0.03)*5)</f>
        <v>90.226229732958927</v>
      </c>
      <c r="D5">
        <f>(DCF!B21)*(1+(0.12-0.125)*-2+(0.03-0.03)*5)</f>
        <v>92.516235563744686</v>
      </c>
      <c r="E5">
        <f>(DCF!B21)*(1+(0.12-0.125)*-2+(0.035-0.03)*5)</f>
        <v>94.80624139453046</v>
      </c>
      <c r="F5">
        <f>(DCF!B21)*(1+(0.12-0.125)*-2+(0.04-0.03)*5)</f>
        <v>97.096247225316205</v>
      </c>
    </row>
    <row r="6" spans="1:6" x14ac:dyDescent="0.35">
      <c r="A6">
        <v>0.13</v>
      </c>
      <c r="B6">
        <f>(DCF!B21)*(1+(0.13-0.125)*-2+(0.02-0.03)*5)</f>
        <v>86.104219237544555</v>
      </c>
      <c r="C6">
        <f>(DCF!B21)*(1+(0.13-0.125)*-2+(0.025-0.03)*5)</f>
        <v>88.394225068330314</v>
      </c>
      <c r="D6">
        <f>(DCF!B21)*(1+(0.13-0.125)*-2+(0.03-0.03)*5)</f>
        <v>90.684230899116073</v>
      </c>
      <c r="E6">
        <f>(DCF!B21)*(1+(0.13-0.125)*-2+(0.035-0.03)*5)</f>
        <v>92.974236729901847</v>
      </c>
      <c r="F6">
        <f>(DCF!B21)*(1+(0.13-0.125)*-2+(0.04-0.03)*5)</f>
        <v>95.264242560687592</v>
      </c>
    </row>
    <row r="7" spans="1:6" x14ac:dyDescent="0.35">
      <c r="A7">
        <v>0.14000000000000001</v>
      </c>
      <c r="B7">
        <f>(DCF!B21)*(1+(0.14-0.125)*-2+(0.02-0.03)*5)</f>
        <v>84.272214572915942</v>
      </c>
      <c r="C7">
        <f>(DCF!B21)*(1+(0.14-0.125)*-2+(0.025-0.03)*5)</f>
        <v>86.562220403701701</v>
      </c>
      <c r="D7">
        <f>(DCF!B21)*(1+(0.14-0.125)*-2+(0.03-0.03)*5)</f>
        <v>88.85222623448746</v>
      </c>
      <c r="E7">
        <f>(DCF!B21)*(1+(0.14-0.125)*-2+(0.035-0.03)*5)</f>
        <v>91.142232065273234</v>
      </c>
      <c r="F7">
        <f>(DCF!B21)*(1+(0.14-0.125)*-2+(0.04-0.03)*5)</f>
        <v>93.432237896058993</v>
      </c>
    </row>
  </sheetData>
  <pageMargins left="0.75" right="0.75" top="1" bottom="1" header="0.5" footer="0.5"/>
  <headerFooter>
    <oddFooter>&amp;CPrepared by Bhoomit Singh&amp;RPage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"/>
  <sheetViews>
    <sheetView zoomScale="74" workbookViewId="0">
      <selection activeCell="F15" sqref="F15"/>
    </sheetView>
  </sheetViews>
  <sheetFormatPr defaultRowHeight="14.5" x14ac:dyDescent="0.35"/>
  <cols>
    <col min="1" max="1" width="29" customWidth="1"/>
    <col min="2" max="11" width="15" customWidth="1"/>
  </cols>
  <sheetData>
    <row r="1" spans="1:11" x14ac:dyDescent="0.35">
      <c r="A1" s="2" t="s">
        <v>65</v>
      </c>
      <c r="B1" s="2"/>
      <c r="C1" s="2"/>
      <c r="D1" s="2"/>
      <c r="E1" s="2"/>
      <c r="F1" s="2"/>
      <c r="G1" s="2"/>
      <c r="H1" s="2"/>
      <c r="I1" s="2"/>
      <c r="J1" s="2" t="s">
        <v>54</v>
      </c>
      <c r="K1" s="2"/>
    </row>
    <row r="2" spans="1:11" x14ac:dyDescent="0.35">
      <c r="J2" t="s">
        <v>6</v>
      </c>
      <c r="K2" t="s">
        <v>55</v>
      </c>
    </row>
    <row r="3" spans="1:11" x14ac:dyDescent="0.35">
      <c r="A3" t="s">
        <v>56</v>
      </c>
      <c r="J3" t="s">
        <v>57</v>
      </c>
      <c r="K3" t="s">
        <v>8</v>
      </c>
    </row>
    <row r="4" spans="1:11" x14ac:dyDescent="0.35">
      <c r="J4" t="s">
        <v>28</v>
      </c>
      <c r="K4">
        <f>Assumptions!B6</f>
        <v>0.03</v>
      </c>
    </row>
    <row r="5" spans="1:11" x14ac:dyDescent="0.35">
      <c r="J5" t="s">
        <v>58</v>
      </c>
      <c r="K5">
        <f>Assumptions!B7</f>
        <v>0.125</v>
      </c>
    </row>
    <row r="6" spans="1:11" x14ac:dyDescent="0.35">
      <c r="J6" t="s">
        <v>59</v>
      </c>
      <c r="K6">
        <f>DCF!B21</f>
        <v>91.60023323143038</v>
      </c>
    </row>
  </sheetData>
  <pageMargins left="0.75" right="0.75" top="1" bottom="1" header="0.5" footer="0.5"/>
  <headerFooter>
    <oddFooter>&amp;CPrepared by Bhoomit Singh&amp;RPage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"/>
  <sheetViews>
    <sheetView workbookViewId="0"/>
  </sheetViews>
  <sheetFormatPr defaultRowHeight="14.5" x14ac:dyDescent="0.35"/>
  <cols>
    <col min="1" max="1" width="15" customWidth="1"/>
  </cols>
  <sheetData>
    <row r="1" spans="1:1" x14ac:dyDescent="0.35">
      <c r="A1" s="2" t="s">
        <v>60</v>
      </c>
    </row>
    <row r="2" spans="1:1" x14ac:dyDescent="0.35">
      <c r="A2" t="s">
        <v>61</v>
      </c>
    </row>
    <row r="3" spans="1:1" x14ac:dyDescent="0.35">
      <c r="A3" t="s">
        <v>62</v>
      </c>
    </row>
    <row r="4" spans="1:1" x14ac:dyDescent="0.35">
      <c r="A4" t="s">
        <v>63</v>
      </c>
    </row>
    <row r="5" spans="1:1" x14ac:dyDescent="0.35">
      <c r="A5" t="s">
        <v>64</v>
      </c>
    </row>
  </sheetData>
  <pageMargins left="0.75" right="0.75" top="1" bottom="1" header="0.5" footer="0.5"/>
  <headerFooter>
    <oddFooter>&amp;CPrepared by Bhoomit Singh&amp;RPage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Assumptions</vt:lpstr>
      <vt:lpstr>Historicals</vt:lpstr>
      <vt:lpstr>Forecast</vt:lpstr>
      <vt:lpstr>DCF</vt:lpstr>
      <vt:lpstr>Sensitivity</vt:lpstr>
      <vt:lpstr>Dashboard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Bhoomit Singh</dc:creator>
  <cp:lastModifiedBy>Bhoomit Singh</cp:lastModifiedBy>
  <dcterms:created xsi:type="dcterms:W3CDTF">2026-07-21T18:02:11Z</dcterms:created>
  <dcterms:modified xsi:type="dcterms:W3CDTF">2026-07-21T18:34:08Z</dcterms:modified>
</cp:coreProperties>
</file>